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原始数据" sheetId="3" r:id="rId1"/>
    <sheet name="计算" sheetId="1" r:id="rId2"/>
    <sheet name="报告" sheetId="2" r:id="rId3"/>
  </sheets>
  <definedNames>
    <definedName name="_xlnm.Print_Area" localSheetId="2">报告!$A:$M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<sst xmlns="http://schemas.openxmlformats.org/spreadsheetml/2006/main" count="115" uniqueCount="87">
  <si>
    <t>项目信息</t>
  </si>
  <si>
    <t>试验信息</t>
  </si>
  <si>
    <t>报告编号</t>
  </si>
  <si>
    <t>合同号Contract No.</t>
  </si>
  <si>
    <t>试验日期</t>
  </si>
  <si>
    <t>Product Code</t>
  </si>
  <si>
    <t>Product Name</t>
  </si>
  <si>
    <t>焊缝名称</t>
  </si>
  <si>
    <t>Inspection aera</t>
  </si>
  <si>
    <t>Temperature°C试验温度</t>
  </si>
  <si>
    <t>试验湿度</t>
  </si>
  <si>
    <t>Test Method</t>
  </si>
  <si>
    <t>标准漏孔标定漏率 Q0</t>
  </si>
  <si>
    <t>标漏检定温度</t>
  </si>
  <si>
    <t>试验温度下标准漏率 Qt</t>
  </si>
  <si>
    <t>仪器本底 I0</t>
  </si>
  <si>
    <t>仪器本底噪声 In</t>
  </si>
  <si>
    <t>仪器校准标漏开启后读数 I</t>
  </si>
  <si>
    <t>仪器最小可检漏率 Qmin</t>
  </si>
  <si>
    <t>系统本底 M0</t>
  </si>
  <si>
    <t>系统本底噪声 Mn</t>
  </si>
  <si>
    <t>系统校准标漏开启后读数 M1</t>
  </si>
  <si>
    <t>反应时间 T</t>
  </si>
  <si>
    <t>系统最小可检漏率 Qeim</t>
  </si>
  <si>
    <t>喷氦后读数 M2</t>
  </si>
  <si>
    <t>TG%</t>
  </si>
  <si>
    <t>实测漏率 Q</t>
  </si>
  <si>
    <t>SX300250223</t>
  </si>
  <si>
    <t>2026.03.12</t>
  </si>
  <si>
    <t>H09515</t>
  </si>
  <si>
    <t>阀门箱B1-C04</t>
  </si>
  <si>
    <t>SWB108</t>
  </si>
  <si>
    <t>IN_TUBE_01
顶盖板内管1</t>
  </si>
  <si>
    <t>Helium Spray Test</t>
  </si>
  <si>
    <t>如果In小于I0/10 那么就是I0/10 要么就是实测值</t>
  </si>
  <si>
    <t>检漏仪校准</t>
  </si>
  <si>
    <t>数值</t>
  </si>
  <si>
    <t>数量级（-）</t>
  </si>
  <si>
    <t>试验温度</t>
  </si>
  <si>
    <t>测试记录和系统校准</t>
  </si>
  <si>
    <t>南京晨光东螺波纹管有限公司</t>
  </si>
  <si>
    <t>Report No.</t>
  </si>
  <si>
    <t>AEROSUN-TOLA EXPANSION JOINT CO.,LTD</t>
  </si>
  <si>
    <t>Page</t>
  </si>
  <si>
    <t>Helium Leak Test Report</t>
  </si>
  <si>
    <r>
      <rPr>
        <sz val="10.5"/>
        <color theme="1"/>
        <rFont val="宋体"/>
        <charset val="134"/>
        <scheme val="minor"/>
      </rPr>
      <t>试验信息</t>
    </r>
    <r>
      <rPr>
        <sz val="10.5"/>
        <color theme="1"/>
        <rFont val="Times New Roman"/>
        <charset val="134"/>
      </rPr>
      <t>Test Information</t>
    </r>
  </si>
  <si>
    <t>Contract No.</t>
  </si>
  <si>
    <r>
      <rPr>
        <sz val="10.5"/>
        <color theme="1"/>
        <rFont val="Times New Roman"/>
        <charset val="134"/>
      </rPr>
      <t>Temperature</t>
    </r>
    <r>
      <rPr>
        <sz val="10.5"/>
        <color theme="1"/>
        <rFont val="Calibri"/>
        <charset val="134"/>
      </rPr>
      <t>°</t>
    </r>
    <r>
      <rPr>
        <sz val="10.5"/>
        <color theme="1"/>
        <rFont val="Times New Roman"/>
        <charset val="134"/>
      </rPr>
      <t>C</t>
    </r>
  </si>
  <si>
    <t>Test Date</t>
  </si>
  <si>
    <t>Ambient humidity(%)</t>
  </si>
  <si>
    <t>Inner bellows weld</t>
  </si>
  <si>
    <t>Acceptance</t>
  </si>
  <si>
    <r>
      <rPr>
        <sz val="12"/>
        <color theme="1"/>
        <rFont val="Times New Roman"/>
        <charset val="134"/>
      </rPr>
      <t>&lt;1.0</t>
    </r>
    <r>
      <rPr>
        <sz val="10.5"/>
        <color theme="1"/>
        <rFont val="宋体"/>
        <charset val="134"/>
      </rPr>
      <t>×</t>
    </r>
    <r>
      <rPr>
        <sz val="12"/>
        <color theme="1"/>
        <rFont val="Times New Roman"/>
        <charset val="134"/>
      </rPr>
      <t>10</t>
    </r>
    <r>
      <rPr>
        <vertAlign val="superscript"/>
        <sz val="12"/>
        <color theme="1"/>
        <rFont val="Times New Roman"/>
        <charset val="134"/>
      </rPr>
      <t>-10</t>
    </r>
    <r>
      <rPr>
        <sz val="12"/>
        <color theme="1"/>
        <rFont val="Times New Roman"/>
        <charset val="134"/>
      </rPr>
      <t>Pa.m</t>
    </r>
    <r>
      <rPr>
        <vertAlign val="super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/s</t>
    </r>
  </si>
  <si>
    <t>Test Procedure No.</t>
  </si>
  <si>
    <t>SX300250223-JD-007</t>
  </si>
  <si>
    <r>
      <rPr>
        <sz val="10.5"/>
        <color theme="1"/>
        <rFont val="宋体"/>
        <charset val="134"/>
        <scheme val="minor"/>
      </rPr>
      <t xml:space="preserve">试验设备 </t>
    </r>
    <r>
      <rPr>
        <sz val="10.5"/>
        <color theme="1"/>
        <rFont val="Times New Roman"/>
        <charset val="134"/>
      </rPr>
      <t>Test Equipment Information</t>
    </r>
  </si>
  <si>
    <t>Leak Detector</t>
  </si>
  <si>
    <r>
      <rPr>
        <sz val="10.5"/>
        <color theme="1"/>
        <rFont val="Times New Roman"/>
        <charset val="134"/>
      </rPr>
      <t>Model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250002v02</t>
    </r>
    <r>
      <rPr>
        <sz val="10.5"/>
        <color theme="1"/>
        <rFont val="Times New Roman"/>
        <charset val="134"/>
      </rPr>
      <t>, No.:</t>
    </r>
    <r>
      <rPr>
        <sz val="10.5"/>
        <color theme="1"/>
        <rFont val="Times New Roman"/>
        <charset val="134"/>
      </rPr>
      <t>90001689449</t>
    </r>
    <r>
      <rPr>
        <sz val="10.5"/>
        <color theme="1"/>
        <rFont val="Times New Roman"/>
        <charset val="134"/>
      </rPr>
      <t xml:space="preserve">, </t>
    </r>
    <r>
      <rPr>
        <sz val="10.5"/>
        <color theme="1"/>
        <rFont val="Times New Roman"/>
        <charset val="134"/>
      </rPr>
      <t>Validity period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to:</t>
    </r>
    <r>
      <rPr>
        <sz val="10.5"/>
        <color theme="1"/>
        <rFont val="Times New Roman"/>
        <charset val="134"/>
      </rPr>
      <t>2027.01.03</t>
    </r>
  </si>
  <si>
    <r>
      <rPr>
        <sz val="10.5"/>
        <color theme="1"/>
        <rFont val="Times New Roman"/>
        <charset val="134"/>
      </rPr>
      <t>Standard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Leak</t>
    </r>
  </si>
  <si>
    <r>
      <rPr>
        <sz val="10.5"/>
        <color theme="1"/>
        <rFont val="Times New Roman"/>
        <charset val="134"/>
      </rPr>
      <t>Model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LK-9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No.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D200745</t>
    </r>
    <r>
      <rPr>
        <sz val="10.5"/>
        <color theme="1"/>
        <rFont val="Times New Roman"/>
        <charset val="134"/>
      </rPr>
      <t>,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Validity period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to :</t>
    </r>
    <r>
      <rPr>
        <sz val="10.5"/>
        <color theme="1"/>
        <rFont val="Times New Roman"/>
        <charset val="134"/>
      </rPr>
      <t>2026.10.16</t>
    </r>
  </si>
  <si>
    <t>Thermometer</t>
  </si>
  <si>
    <r>
      <rPr>
        <sz val="10.5"/>
        <color theme="1"/>
        <rFont val="Times New Roman"/>
        <charset val="134"/>
      </rPr>
      <t>Model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WS2080B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No.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HD-053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Validity period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to 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2026.06.22</t>
    </r>
  </si>
  <si>
    <t>Helium concentration meter</t>
  </si>
  <si>
    <r>
      <rPr>
        <sz val="10.5"/>
        <color theme="1"/>
        <rFont val="Times New Roman"/>
        <charset val="134"/>
      </rPr>
      <t>Model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PLT300-He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No.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PLT0622530488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Validity period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to 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2026.12.11</t>
    </r>
  </si>
  <si>
    <r>
      <rPr>
        <sz val="10.5"/>
        <color theme="1"/>
        <rFont val="宋体"/>
        <charset val="134"/>
        <scheme val="minor"/>
      </rPr>
      <t>检漏仪校准</t>
    </r>
    <r>
      <rPr>
        <sz val="10.5"/>
        <color theme="1"/>
        <rFont val="Times New Roman"/>
        <charset val="134"/>
      </rPr>
      <t xml:space="preserve"> Leak detector Calibration                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Pa·m</t>
    </r>
    <r>
      <rPr>
        <vertAlign val="superscript"/>
        <sz val="10.5"/>
        <color theme="1"/>
        <rFont val="Times New Roman"/>
        <charset val="134"/>
      </rPr>
      <t>3</t>
    </r>
    <r>
      <rPr>
        <sz val="10.5"/>
        <color theme="1"/>
        <rFont val="Times New Roman"/>
        <charset val="134"/>
      </rPr>
      <t>/s</t>
    </r>
    <r>
      <rPr>
        <sz val="10.5"/>
        <color theme="1"/>
        <rFont val="宋体"/>
        <charset val="134"/>
      </rPr>
      <t>）</t>
    </r>
  </si>
  <si>
    <t>Calibrated Leak rate of Standard Leak</t>
  </si>
  <si>
    <t>Leak rate of Standard Leak at test temperature</t>
  </si>
  <si>
    <r>
      <rPr>
        <sz val="10.5"/>
        <color theme="1"/>
        <rFont val="Times New Roman"/>
        <charset val="134"/>
      </rPr>
      <t>Background Signal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of 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Leak Detector</t>
    </r>
    <r>
      <rPr>
        <sz val="10.5"/>
        <color theme="1"/>
        <rFont val="Times New Roman"/>
        <charset val="134"/>
      </rPr>
      <t xml:space="preserve"> </t>
    </r>
  </si>
  <si>
    <r>
      <rPr>
        <sz val="10.5"/>
        <color theme="1"/>
        <rFont val="Times New Roman"/>
        <charset val="134"/>
      </rPr>
      <t>Background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noise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of Leak Detector</t>
    </r>
  </si>
  <si>
    <r>
      <rPr>
        <sz val="10.5"/>
        <color theme="1"/>
        <rFont val="Times New Roman"/>
        <charset val="134"/>
      </rPr>
      <t>Leak signal</t>
    </r>
    <r>
      <rPr>
        <sz val="10.5"/>
        <color theme="1"/>
        <rFont val="Times New Roman"/>
        <charset val="134"/>
      </rPr>
      <t xml:space="preserve"> </t>
    </r>
  </si>
  <si>
    <t xml:space="preserve">                     Sensitivity of leak detector</t>
  </si>
  <si>
    <r>
      <rPr>
        <sz val="10.5"/>
        <color theme="1"/>
        <rFont val="宋体"/>
        <charset val="134"/>
        <scheme val="minor"/>
      </rPr>
      <t>测试记录</t>
    </r>
    <r>
      <rPr>
        <sz val="10.5"/>
        <color theme="1"/>
        <rFont val="Times New Roman"/>
        <charset val="134"/>
      </rPr>
      <t xml:space="preserve">Test Record </t>
    </r>
    <r>
      <rPr>
        <sz val="10.5"/>
        <color theme="1"/>
        <rFont val="Times New Roman"/>
        <charset val="134"/>
      </rPr>
      <t xml:space="preserve">            </t>
    </r>
    <r>
      <rPr>
        <sz val="10.5"/>
        <color theme="1"/>
        <rFont val="Times New Roman"/>
        <charset val="134"/>
      </rPr>
      <t xml:space="preserve">  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        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Pa·m</t>
    </r>
    <r>
      <rPr>
        <vertAlign val="superscript"/>
        <sz val="10.5"/>
        <color theme="1"/>
        <rFont val="Times New Roman"/>
        <charset val="134"/>
      </rPr>
      <t>3</t>
    </r>
    <r>
      <rPr>
        <sz val="10.5"/>
        <color theme="1"/>
        <rFont val="Times New Roman"/>
        <charset val="134"/>
      </rPr>
      <t>/s</t>
    </r>
    <r>
      <rPr>
        <sz val="10.5"/>
        <color theme="1"/>
        <rFont val="宋体"/>
        <charset val="134"/>
      </rPr>
      <t>）</t>
    </r>
  </si>
  <si>
    <t xml:space="preserve">      Background Signal of Test system</t>
  </si>
  <si>
    <r>
      <rPr>
        <sz val="10.5"/>
        <color theme="1"/>
        <rFont val="Times New Roman"/>
        <charset val="134"/>
      </rPr>
      <t>Background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noise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of Test system</t>
    </r>
  </si>
  <si>
    <t xml:space="preserve">                        Leak signal </t>
  </si>
  <si>
    <r>
      <rPr>
        <sz val="10.5"/>
        <color theme="1"/>
        <rFont val="Times New Roman"/>
        <charset val="134"/>
      </rPr>
      <t>Response Time</t>
    </r>
    <r>
      <rPr>
        <sz val="10.5"/>
        <color theme="1"/>
        <rFont val="Times New Roman"/>
        <charset val="134"/>
      </rPr>
      <t xml:space="preserve"> </t>
    </r>
  </si>
  <si>
    <t xml:space="preserve">                         Sensitivity of Test system</t>
  </si>
  <si>
    <r>
      <rPr>
        <sz val="10"/>
        <color theme="1"/>
        <rFont val="Times New Roman"/>
        <charset val="134"/>
      </rPr>
      <t>Leak signal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Times New Roman"/>
        <charset val="134"/>
      </rPr>
      <t>after spray helium</t>
    </r>
  </si>
  <si>
    <t>Helium concentration</t>
  </si>
  <si>
    <t xml:space="preserve">                          Tested Leak Rate of system</t>
  </si>
  <si>
    <r>
      <rPr>
        <sz val="10.5"/>
        <color theme="1"/>
        <rFont val="宋体"/>
        <charset val="134"/>
        <scheme val="minor"/>
      </rPr>
      <t xml:space="preserve">测试结果 </t>
    </r>
    <r>
      <rPr>
        <sz val="10.5"/>
        <color theme="1"/>
        <rFont val="Times New Roman"/>
        <charset val="134"/>
      </rPr>
      <t>Test Result</t>
    </r>
  </si>
  <si>
    <t>Actual leakage rate is less than acceptance       , The result is Acceptable</t>
  </si>
  <si>
    <t>Operator</t>
  </si>
  <si>
    <t>Editor</t>
  </si>
  <si>
    <t>Reviewed</t>
  </si>
  <si>
    <t>Signature/Date</t>
  </si>
  <si>
    <t>Qualification 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</si>
</sst>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Times New Roman"/>
      <charset val="134"/>
    </font>
    <font>
      <b/>
      <sz val="10.5"/>
      <color theme="1"/>
      <name val="Times New Roman"/>
      <charset val="134"/>
    </font>
    <font>
      <sz val="10.5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vertAlign val="superscript"/>
      <sz val="10.5"/>
      <color theme="1"/>
      <name val="Times New Roman"/>
      <charset val="134"/>
    </font>
    <font>
      <vertAlign val="superscript"/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9" applyNumberFormat="0" applyFill="0" applyAlignment="0" applyProtection="0">
      <alignment vertical="center"/>
    </xf>
    <xf numFmtId="0" fontId="16" fillId="0" borderId="39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1" applyNumberFormat="0" applyAlignment="0" applyProtection="0">
      <alignment vertical="center"/>
    </xf>
    <xf numFmtId="0" fontId="19" fillId="7" borderId="42" applyNumberFormat="0" applyAlignment="0" applyProtection="0">
      <alignment vertical="center"/>
    </xf>
    <xf numFmtId="0" fontId="20" fillId="7" borderId="41" applyNumberFormat="0" applyAlignment="0" applyProtection="0">
      <alignment vertical="center"/>
    </xf>
    <xf numFmtId="0" fontId="21" fillId="8" borderId="43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11" fontId="5" fillId="0" borderId="7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1" fontId="0" fillId="2" borderId="13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1" fontId="0" fillId="2" borderId="1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1" fontId="8" fillId="0" borderId="0" xfId="0" applyNumberFormat="1" applyFont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1" fontId="0" fillId="0" borderId="15" xfId="0" applyNumberFormat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11" fontId="0" fillId="2" borderId="28" xfId="0" applyNumberFormat="1" applyFill="1" applyBorder="1" applyAlignment="1">
      <alignment horizontal="center" vertical="center" wrapText="1"/>
    </xf>
    <xf numFmtId="11" fontId="0" fillId="0" borderId="16" xfId="0" applyNumberFormat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11" fontId="0" fillId="2" borderId="31" xfId="0" applyNumberForma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11" fontId="0" fillId="0" borderId="26" xfId="0" applyNumberFormat="1" applyFill="1" applyBorder="1" applyAlignment="1">
      <alignment horizontal="center" vertical="center" wrapText="1"/>
    </xf>
    <xf numFmtId="11" fontId="0" fillId="2" borderId="33" xfId="0" applyNumberFormat="1" applyFill="1" applyBorder="1" applyAlignment="1">
      <alignment horizontal="center" vertical="center" wrapText="1"/>
    </xf>
    <xf numFmtId="10" fontId="0" fillId="2" borderId="32" xfId="0" applyNumberForma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1" fontId="0" fillId="4" borderId="16" xfId="0" applyNumberForma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11" fontId="0" fillId="0" borderId="37" xfId="0" applyNumberFormat="1" applyFill="1" applyBorder="1" applyAlignment="1">
      <alignment horizontal="center" vertical="center"/>
    </xf>
    <xf numFmtId="11" fontId="0" fillId="0" borderId="34" xfId="0" applyNumberFormat="1" applyFont="1" applyFill="1" applyBorder="1" applyAlignment="1">
      <alignment horizontal="center" vertical="center"/>
    </xf>
    <xf numFmtId="10" fontId="0" fillId="2" borderId="36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7" Type="http://schemas.openxmlformats.org/officeDocument/2006/relationships/image" Target="../media/image16.jpeg"/><Relationship Id="rId16" Type="http://schemas.openxmlformats.org/officeDocument/2006/relationships/image" Target="../media/image15.jpeg"/><Relationship Id="rId15" Type="http://schemas.openxmlformats.org/officeDocument/2006/relationships/image" Target="../media/image14.jpeg"/><Relationship Id="rId14" Type="http://schemas.openxmlformats.org/officeDocument/2006/relationships/image" Target="../media/image13.jpeg"/><Relationship Id="rId13" Type="http://schemas.openxmlformats.org/officeDocument/2006/relationships/image" Target="../media/image12.jpeg"/><Relationship Id="rId12" Type="http://schemas.openxmlformats.org/officeDocument/2006/relationships/image" Target="../media/image11.jpe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981075</xdr:colOff>
      <xdr:row>8</xdr:row>
      <xdr:rowOff>20955</xdr:rowOff>
    </xdr:from>
    <xdr:to>
      <xdr:col>1</xdr:col>
      <xdr:colOff>0</xdr:colOff>
      <xdr:row>8</xdr:row>
      <xdr:rowOff>192405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81075" y="1697355"/>
          <a:ext cx="15367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259080</xdr:colOff>
      <xdr:row>16</xdr:row>
      <xdr:rowOff>144780</xdr:rowOff>
    </xdr:from>
    <xdr:to>
      <xdr:col>2</xdr:col>
      <xdr:colOff>402590</xdr:colOff>
      <xdr:row>17</xdr:row>
      <xdr:rowOff>81280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005330" y="3548380"/>
          <a:ext cx="14351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20955</xdr:colOff>
      <xdr:row>17</xdr:row>
      <xdr:rowOff>0</xdr:rowOff>
    </xdr:from>
    <xdr:to>
      <xdr:col>10</xdr:col>
      <xdr:colOff>192405</xdr:colOff>
      <xdr:row>17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4862195" y="3619500"/>
          <a:ext cx="17145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394970</xdr:colOff>
      <xdr:row>18</xdr:row>
      <xdr:rowOff>144145</xdr:rowOff>
    </xdr:from>
    <xdr:to>
      <xdr:col>2</xdr:col>
      <xdr:colOff>500380</xdr:colOff>
      <xdr:row>19</xdr:row>
      <xdr:rowOff>80645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2141220" y="3979545"/>
          <a:ext cx="10541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571500</xdr:colOff>
      <xdr:row>19</xdr:row>
      <xdr:rowOff>25400</xdr:rowOff>
    </xdr:from>
    <xdr:to>
      <xdr:col>9</xdr:col>
      <xdr:colOff>97155</xdr:colOff>
      <xdr:row>19</xdr:row>
      <xdr:rowOff>177800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666615" y="4076700"/>
          <a:ext cx="9715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400685</xdr:colOff>
      <xdr:row>20</xdr:row>
      <xdr:rowOff>150495</xdr:rowOff>
    </xdr:from>
    <xdr:to>
      <xdr:col>1</xdr:col>
      <xdr:colOff>448945</xdr:colOff>
      <xdr:row>21</xdr:row>
      <xdr:rowOff>86995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535430" y="4417695"/>
          <a:ext cx="482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360680</xdr:colOff>
      <xdr:row>22</xdr:row>
      <xdr:rowOff>83185</xdr:rowOff>
    </xdr:from>
    <xdr:to>
      <xdr:col>3</xdr:col>
      <xdr:colOff>645160</xdr:colOff>
      <xdr:row>23</xdr:row>
      <xdr:rowOff>144145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2106930" y="4782185"/>
          <a:ext cx="85344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233045</xdr:colOff>
      <xdr:row>25</xdr:row>
      <xdr:rowOff>162560</xdr:rowOff>
    </xdr:from>
    <xdr:to>
      <xdr:col>2</xdr:col>
      <xdr:colOff>395605</xdr:colOff>
      <xdr:row>26</xdr:row>
      <xdr:rowOff>99060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979295" y="5509260"/>
          <a:ext cx="1625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40005</xdr:colOff>
      <xdr:row>26</xdr:row>
      <xdr:rowOff>31750</xdr:rowOff>
    </xdr:from>
    <xdr:to>
      <xdr:col>10</xdr:col>
      <xdr:colOff>20955</xdr:colOff>
      <xdr:row>26</xdr:row>
      <xdr:rowOff>184150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4706620" y="5594350"/>
          <a:ext cx="15557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334010</xdr:colOff>
      <xdr:row>27</xdr:row>
      <xdr:rowOff>144145</xdr:rowOff>
    </xdr:from>
    <xdr:to>
      <xdr:col>1</xdr:col>
      <xdr:colOff>496570</xdr:colOff>
      <xdr:row>28</xdr:row>
      <xdr:rowOff>80645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468755" y="5922645"/>
          <a:ext cx="1625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45720</xdr:colOff>
      <xdr:row>27</xdr:row>
      <xdr:rowOff>148590</xdr:rowOff>
    </xdr:from>
    <xdr:to>
      <xdr:col>10</xdr:col>
      <xdr:colOff>246380</xdr:colOff>
      <xdr:row>28</xdr:row>
      <xdr:rowOff>85090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4886960" y="5927090"/>
          <a:ext cx="2006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446405</xdr:colOff>
      <xdr:row>29</xdr:row>
      <xdr:rowOff>137795</xdr:rowOff>
    </xdr:from>
    <xdr:to>
      <xdr:col>4</xdr:col>
      <xdr:colOff>161925</xdr:colOff>
      <xdr:row>31</xdr:row>
      <xdr:rowOff>116205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2192655" y="6348095"/>
          <a:ext cx="998220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196850</xdr:colOff>
      <xdr:row>32</xdr:row>
      <xdr:rowOff>132080</xdr:rowOff>
    </xdr:from>
    <xdr:to>
      <xdr:col>2</xdr:col>
      <xdr:colOff>359410</xdr:colOff>
      <xdr:row>33</xdr:row>
      <xdr:rowOff>116840</xdr:rowOff>
    </xdr:to>
    <xdr:pic>
      <xdr:nvPicPr>
        <xdr:cNvPr id="14" name="图片 1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943100" y="6990080"/>
          <a:ext cx="162560" cy="20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22225</xdr:colOff>
      <xdr:row>32</xdr:row>
      <xdr:rowOff>120650</xdr:rowOff>
    </xdr:from>
    <xdr:to>
      <xdr:col>11</xdr:col>
      <xdr:colOff>0</xdr:colOff>
      <xdr:row>33</xdr:row>
      <xdr:rowOff>105410</xdr:rowOff>
    </xdr:to>
    <xdr:pic>
      <xdr:nvPicPr>
        <xdr:cNvPr id="15" name="图片 14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4863465" y="6978650"/>
          <a:ext cx="266065" cy="20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554355</xdr:colOff>
      <xdr:row>34</xdr:row>
      <xdr:rowOff>137795</xdr:rowOff>
    </xdr:from>
    <xdr:to>
      <xdr:col>4</xdr:col>
      <xdr:colOff>250825</xdr:colOff>
      <xdr:row>36</xdr:row>
      <xdr:rowOff>116205</xdr:rowOff>
    </xdr:to>
    <xdr:pic>
      <xdr:nvPicPr>
        <xdr:cNvPr id="16" name="图片 15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2300605" y="7427595"/>
          <a:ext cx="979170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481330</xdr:colOff>
      <xdr:row>38</xdr:row>
      <xdr:rowOff>129540</xdr:rowOff>
    </xdr:from>
    <xdr:to>
      <xdr:col>5</xdr:col>
      <xdr:colOff>0</xdr:colOff>
      <xdr:row>39</xdr:row>
      <xdr:rowOff>73025</xdr:rowOff>
    </xdr:to>
    <xdr:pic>
      <xdr:nvPicPr>
        <xdr:cNvPr id="17" name="图片 16"/>
        <xdr:cNvPicPr>
          <a:picLocks noChangeAspect="1"/>
        </xdr:cNvPicPr>
      </xdr:nvPicPr>
      <xdr:blipFill>
        <a:blip r:embed="rId17" r:link="rId2"/>
        <a:srcRect l="65325" t="18770"/>
        <a:stretch>
          <a:fillRect/>
        </a:stretch>
      </xdr:blipFill>
      <xdr:spPr>
        <a:xfrm>
          <a:off x="3510280" y="8282940"/>
          <a:ext cx="102870" cy="159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"/>
  <sheetViews>
    <sheetView tabSelected="1" topLeftCell="E1" workbookViewId="0">
      <selection activeCell="K27" sqref="K27"/>
    </sheetView>
  </sheetViews>
  <sheetFormatPr defaultColWidth="9" defaultRowHeight="14" outlineLevelRow="3"/>
  <cols>
    <col min="1" max="1" width="8.87272727272727" customWidth="1"/>
    <col min="2" max="4" width="13.7545454545455" customWidth="1"/>
    <col min="5" max="5" width="8.95454545454546" style="61" customWidth="1"/>
    <col min="6" max="6" width="12.6272727272727" style="61" customWidth="1"/>
    <col min="7" max="7" width="8.12727272727273" style="61" customWidth="1"/>
    <col min="8" max="8" width="12.5727272727273" customWidth="1"/>
    <col min="9" max="10" width="11.6272727272727" style="61" customWidth="1"/>
    <col min="11" max="11" width="11.2090909090909" style="61" customWidth="1"/>
    <col min="12" max="12" width="5.37272727272727" customWidth="1"/>
    <col min="13" max="13" width="3.37272727272727" customWidth="1"/>
    <col min="14" max="14" width="8.37272727272727" customWidth="1"/>
    <col min="15" max="15" width="6.71818181818182" customWidth="1"/>
    <col min="16" max="16" width="11.5" style="62" customWidth="1"/>
    <col min="17" max="17" width="5.37272727272727" customWidth="1"/>
    <col min="18" max="18" width="3.37272727272727" customWidth="1"/>
    <col min="19" max="19" width="8.37272727272727" style="62" customWidth="1"/>
    <col min="20" max="20" width="8.37272727272727" customWidth="1"/>
    <col min="21" max="21" width="5.37272727272727" customWidth="1"/>
    <col min="22" max="22" width="3.37272727272727" customWidth="1"/>
    <col min="23" max="23" width="8.37272727272727" style="62" customWidth="1"/>
    <col min="24" max="24" width="13.2545454545455" customWidth="1"/>
    <col min="25" max="25" width="5.37272727272727" customWidth="1"/>
    <col min="26" max="26" width="3.37272727272727" customWidth="1"/>
    <col min="27" max="28" width="8.37272727272727" style="62" customWidth="1"/>
    <col min="29" max="29" width="5.37272727272727" customWidth="1"/>
    <col min="30" max="30" width="3.37272727272727" customWidth="1"/>
    <col min="31" max="31" width="8.37272727272727" style="62" customWidth="1"/>
    <col min="32" max="32" width="8.37272727272727" customWidth="1"/>
    <col min="33" max="33" width="13.7545454545455" style="62" customWidth="1"/>
    <col min="34" max="34" width="5.37272727272727" customWidth="1"/>
    <col min="35" max="35" width="3.37272727272727" customWidth="1"/>
    <col min="36" max="36" width="14.5545454545455" style="63" customWidth="1"/>
    <col min="37" max="37" width="10.3727272727273" style="64"/>
    <col min="38" max="38" width="31.2" style="62" customWidth="1"/>
  </cols>
  <sheetData>
    <row r="1" ht="14.75" spans="1:38">
      <c r="A1" s="65" t="s">
        <v>0</v>
      </c>
      <c r="B1" s="65"/>
      <c r="C1" s="65"/>
      <c r="D1" s="65"/>
      <c r="E1" s="65"/>
      <c r="F1" s="65"/>
      <c r="G1" s="65"/>
      <c r="H1" s="65"/>
      <c r="I1" s="66" t="s">
        <v>1</v>
      </c>
      <c r="J1" s="66"/>
      <c r="K1" s="66"/>
      <c r="L1" s="66"/>
      <c r="M1" s="66"/>
      <c r="N1" s="66"/>
      <c r="O1" s="66"/>
      <c r="P1" s="67"/>
      <c r="Q1" s="66"/>
      <c r="R1" s="66"/>
      <c r="S1" s="67"/>
      <c r="T1" s="66"/>
      <c r="U1" s="66"/>
      <c r="V1" s="66"/>
      <c r="W1" s="67"/>
      <c r="X1" s="66"/>
      <c r="Y1" s="66"/>
      <c r="Z1" s="66"/>
      <c r="AA1" s="67"/>
      <c r="AB1" s="67"/>
      <c r="AC1" s="66"/>
      <c r="AD1" s="66"/>
      <c r="AE1" s="67"/>
      <c r="AF1" s="66"/>
      <c r="AG1" s="67"/>
      <c r="AH1" s="66"/>
      <c r="AI1" s="66"/>
      <c r="AJ1" s="67"/>
      <c r="AK1" s="66"/>
    </row>
    <row r="2" s="61" customFormat="1" ht="42" spans="1:38">
      <c r="A2" s="68" t="s">
        <v>2</v>
      </c>
      <c r="B2" s="69"/>
      <c r="C2" s="69" t="s">
        <v>3</v>
      </c>
      <c r="D2" s="69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1" t="s">
        <v>9</v>
      </c>
      <c r="J2" s="71" t="s">
        <v>10</v>
      </c>
      <c r="K2" s="70" t="s">
        <v>11</v>
      </c>
      <c r="L2" s="68" t="s">
        <v>12</v>
      </c>
      <c r="M2" s="72"/>
      <c r="N2" s="69"/>
      <c r="O2" s="70" t="s">
        <v>13</v>
      </c>
      <c r="P2" s="73" t="s">
        <v>14</v>
      </c>
      <c r="Q2" s="74" t="s">
        <v>15</v>
      </c>
      <c r="R2" s="75"/>
      <c r="S2" s="76"/>
      <c r="T2" s="72" t="s">
        <v>16</v>
      </c>
      <c r="U2" s="74" t="s">
        <v>17</v>
      </c>
      <c r="V2" s="75"/>
      <c r="W2" s="76"/>
      <c r="X2" s="72" t="s">
        <v>18</v>
      </c>
      <c r="Y2" s="74" t="s">
        <v>19</v>
      </c>
      <c r="Z2" s="75"/>
      <c r="AA2" s="76"/>
      <c r="AB2" s="77" t="s">
        <v>20</v>
      </c>
      <c r="AC2" s="78" t="s">
        <v>21</v>
      </c>
      <c r="AD2" s="79"/>
      <c r="AE2" s="80"/>
      <c r="AF2" s="81" t="s">
        <v>22</v>
      </c>
      <c r="AG2" s="82" t="s">
        <v>23</v>
      </c>
      <c r="AH2" s="78" t="s">
        <v>24</v>
      </c>
      <c r="AI2" s="79"/>
      <c r="AJ2" s="83"/>
      <c r="AK2" s="84" t="s">
        <v>25</v>
      </c>
      <c r="AL2" s="85" t="s">
        <v>26</v>
      </c>
    </row>
    <row r="3" ht="28" spans="1:38">
      <c r="A3" s="41">
        <v>16</v>
      </c>
      <c r="B3" s="41" t="str">
        <f>"HD-LT26-00"&amp;A3</f>
        <v>HD-LT26-0016</v>
      </c>
      <c r="C3" s="41" t="s">
        <v>27</v>
      </c>
      <c r="D3" s="41" t="s">
        <v>28</v>
      </c>
      <c r="E3" s="70" t="s">
        <v>29</v>
      </c>
      <c r="F3" s="70" t="s">
        <v>30</v>
      </c>
      <c r="G3" s="70" t="s">
        <v>31</v>
      </c>
      <c r="H3" s="70" t="s">
        <v>32</v>
      </c>
      <c r="I3" s="86">
        <v>20</v>
      </c>
      <c r="J3" s="86">
        <v>40</v>
      </c>
      <c r="K3" s="70" t="s">
        <v>33</v>
      </c>
      <c r="L3" s="87">
        <v>3.88</v>
      </c>
      <c r="M3" s="87">
        <v>9</v>
      </c>
      <c r="N3" s="88" t="str">
        <f>L3&amp;"E"&amp;-M3</f>
        <v>3.88E-9</v>
      </c>
      <c r="O3" s="41">
        <v>20</v>
      </c>
      <c r="P3" s="89">
        <f>N3*(1-(O3-I3)*0.03)</f>
        <v>3.88e-9</v>
      </c>
      <c r="Q3" s="90">
        <v>5</v>
      </c>
      <c r="R3" s="43">
        <v>13</v>
      </c>
      <c r="S3" s="91" t="str">
        <f>Q3&amp;"E"&amp;-R3</f>
        <v>5E-13</v>
      </c>
      <c r="T3" s="92">
        <f>S3/10</f>
        <v>5e-14</v>
      </c>
      <c r="U3" s="93">
        <v>3.12</v>
      </c>
      <c r="V3" s="94">
        <v>9</v>
      </c>
      <c r="W3" s="91" t="str">
        <f>U3&amp;"E"&amp;-V3</f>
        <v>3.12E-9</v>
      </c>
      <c r="X3" s="53">
        <f>T3/(W3-S3)*P3</f>
        <v>6.2189453438051e-14</v>
      </c>
      <c r="Y3" s="90">
        <v>1</v>
      </c>
      <c r="Z3" s="43">
        <v>13</v>
      </c>
      <c r="AA3" s="91" t="str">
        <f>Y3&amp;"E"&amp;-Z3</f>
        <v>1E-13</v>
      </c>
      <c r="AB3" s="95">
        <f>AA3/10</f>
        <v>1e-14</v>
      </c>
      <c r="AC3" s="90">
        <v>3.32</v>
      </c>
      <c r="AD3" s="43">
        <v>9</v>
      </c>
      <c r="AE3" s="91" t="str">
        <f>AC3&amp;"E"&amp;-AD3</f>
        <v>3.32E-9</v>
      </c>
      <c r="AF3" s="96">
        <v>50</v>
      </c>
      <c r="AG3" s="97">
        <f>AB3*P3/(AE3-AA3)</f>
        <v>1.16870990090063e-14</v>
      </c>
      <c r="AH3" s="90">
        <v>5.01</v>
      </c>
      <c r="AI3" s="43">
        <v>13</v>
      </c>
      <c r="AJ3" s="98" t="str">
        <f>AH3&amp;"E"&amp;-AI3</f>
        <v>5.01E-13</v>
      </c>
      <c r="AK3" s="99">
        <v>1</v>
      </c>
      <c r="AL3" s="63">
        <f>P3*(AJ3-AA3)/(AE3-AA3)</f>
        <v>4.68652670261152e-13</v>
      </c>
    </row>
    <row r="4" spans="1:38">
      <c r="T4" t="s">
        <v>34</v>
      </c>
    </row>
  </sheetData>
  <mergeCells count="9">
    <mergeCell ref="A1:H1"/>
    <mergeCell ref="I1:AK1"/>
    <mergeCell ref="A2:B2"/>
    <mergeCell ref="L2:N2"/>
    <mergeCell ref="Q2:S2"/>
    <mergeCell ref="U2:W2"/>
    <mergeCell ref="Y2:AA2"/>
    <mergeCell ref="AC2:AE2"/>
    <mergeCell ref="AH2:A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75" zoomScaleNormal="175" workbookViewId="0">
      <selection activeCell="B3" sqref="B3"/>
    </sheetView>
  </sheetViews>
  <sheetFormatPr defaultColWidth="9" defaultRowHeight="14" outlineLevelCol="5"/>
  <cols>
    <col min="1" max="1" width="26.5" customWidth="1"/>
    <col min="2" max="2" width="5.8" customWidth="1"/>
    <col min="3" max="3" width="12" customWidth="1"/>
    <col min="4" max="4" width="18.7545454545455" customWidth="1"/>
    <col min="5" max="5" width="16.2545454545455" customWidth="1"/>
    <col min="6" max="6" width="9.37272727272727"/>
  </cols>
  <sheetData>
    <row r="1" spans="1:6">
      <c r="A1" s="41" t="s">
        <v>35</v>
      </c>
      <c r="B1" s="41"/>
      <c r="C1" s="41"/>
      <c r="D1" s="41"/>
      <c r="E1" s="41"/>
      <c r="F1" s="41"/>
    </row>
    <row r="2" spans="1:6">
      <c r="A2" s="42" t="s">
        <v>12</v>
      </c>
      <c r="B2" s="43" t="s">
        <v>36</v>
      </c>
      <c r="C2" s="43" t="s">
        <v>37</v>
      </c>
      <c r="D2" s="44" t="str">
        <f t="shared" ref="D2:D7" si="0">B3&amp;"E"&amp;-C3</f>
        <v>3.88E-9</v>
      </c>
      <c r="E2" s="42" t="s">
        <v>13</v>
      </c>
      <c r="F2" s="42">
        <v>20</v>
      </c>
    </row>
    <row r="3" spans="1:6">
      <c r="A3" s="45"/>
      <c r="B3" s="43">
        <v>3.88</v>
      </c>
      <c r="C3" s="43">
        <v>9</v>
      </c>
      <c r="D3" s="46"/>
      <c r="E3" s="45"/>
      <c r="F3" s="45"/>
    </row>
    <row r="4" spans="1:6">
      <c r="A4" s="41" t="s">
        <v>14</v>
      </c>
      <c r="B4" s="47">
        <f>D2*(1-(F2-F4)*0.03)</f>
        <v>2.8324e-9</v>
      </c>
      <c r="C4" s="48"/>
      <c r="D4" s="49"/>
      <c r="E4" s="43" t="s">
        <v>38</v>
      </c>
      <c r="F4" s="43">
        <v>11</v>
      </c>
    </row>
    <row r="5" spans="1:6">
      <c r="A5" s="42" t="s">
        <v>15</v>
      </c>
      <c r="B5" s="43" t="s">
        <v>36</v>
      </c>
      <c r="C5" s="43" t="s">
        <v>37</v>
      </c>
      <c r="D5" s="44" t="str">
        <f t="shared" si="0"/>
        <v>4.8E-9</v>
      </c>
      <c r="E5" s="50" t="s">
        <v>16</v>
      </c>
      <c r="F5" s="50">
        <f>D5/10</f>
        <v>4.8e-10</v>
      </c>
    </row>
    <row r="6" spans="1:6">
      <c r="A6" s="45"/>
      <c r="B6" s="43">
        <v>4.8</v>
      </c>
      <c r="C6" s="43">
        <v>9</v>
      </c>
      <c r="D6" s="46"/>
      <c r="E6" s="51"/>
      <c r="F6" s="51"/>
    </row>
    <row r="7" spans="1:6">
      <c r="A7" s="52" t="s">
        <v>17</v>
      </c>
      <c r="B7" s="43" t="s">
        <v>36</v>
      </c>
      <c r="C7" s="43" t="s">
        <v>37</v>
      </c>
      <c r="D7" s="44" t="str">
        <f t="shared" si="0"/>
        <v>3.35E-9</v>
      </c>
      <c r="E7" s="51"/>
      <c r="F7" s="51"/>
    </row>
    <row r="8" spans="1:6">
      <c r="A8" s="45"/>
      <c r="B8" s="43">
        <v>3.35</v>
      </c>
      <c r="C8" s="43">
        <v>9</v>
      </c>
      <c r="D8" s="46"/>
      <c r="E8" s="41"/>
      <c r="F8" s="41"/>
    </row>
    <row r="9" spans="1:6">
      <c r="A9" s="41" t="s">
        <v>18</v>
      </c>
      <c r="B9" s="47">
        <f>F5/(D8-D5)*B4</f>
        <v>-2.8324e-10</v>
      </c>
      <c r="C9" s="53"/>
      <c r="D9" s="49"/>
      <c r="E9" s="41"/>
      <c r="F9" s="41"/>
    </row>
    <row r="10" spans="1:6">
      <c r="A10" s="47" t="s">
        <v>39</v>
      </c>
      <c r="B10" s="53"/>
      <c r="C10" s="53"/>
      <c r="D10" s="53"/>
      <c r="E10" s="53"/>
      <c r="F10" s="49"/>
    </row>
    <row r="11" spans="1:6">
      <c r="A11" s="54" t="s">
        <v>19</v>
      </c>
      <c r="B11" s="43" t="s">
        <v>36</v>
      </c>
      <c r="C11" s="43" t="s">
        <v>37</v>
      </c>
      <c r="D11" s="44" t="str">
        <f t="shared" ref="D11:D16" si="1">B12&amp;"E"&amp;-C12</f>
        <v>2.03E-10</v>
      </c>
      <c r="E11" s="55" t="s">
        <v>20</v>
      </c>
      <c r="F11" s="56">
        <f>D11/10</f>
        <v>2.03e-11</v>
      </c>
    </row>
    <row r="12" spans="1:6">
      <c r="A12" s="57"/>
      <c r="B12" s="43">
        <v>2.03</v>
      </c>
      <c r="C12" s="43">
        <v>10</v>
      </c>
      <c r="D12" s="46"/>
      <c r="E12" s="58"/>
      <c r="F12" s="59"/>
    </row>
    <row r="13" spans="1:6">
      <c r="A13" s="60" t="s">
        <v>21</v>
      </c>
      <c r="B13" s="43" t="s">
        <v>36</v>
      </c>
      <c r="C13" s="43" t="s">
        <v>37</v>
      </c>
      <c r="D13" s="44" t="str">
        <f t="shared" si="1"/>
        <v>4.63E-9</v>
      </c>
      <c r="E13" s="41"/>
      <c r="F13" s="41"/>
    </row>
    <row r="14" spans="1:6">
      <c r="A14" s="57"/>
      <c r="B14" s="43">
        <v>4.63</v>
      </c>
      <c r="C14" s="43">
        <v>9</v>
      </c>
      <c r="D14" s="46"/>
      <c r="E14" s="41"/>
      <c r="F14" s="41"/>
    </row>
    <row r="15" spans="1:6">
      <c r="A15" s="41" t="s">
        <v>23</v>
      </c>
      <c r="B15" s="41"/>
      <c r="C15" s="41"/>
      <c r="D15" s="41">
        <f>B4*F11/(D13-D11)</f>
        <v>1.29879647616896e-11</v>
      </c>
      <c r="E15" s="41"/>
      <c r="F15" s="41"/>
    </row>
    <row r="16" spans="1:6">
      <c r="A16" s="42" t="s">
        <v>24</v>
      </c>
      <c r="B16" s="43" t="s">
        <v>36</v>
      </c>
      <c r="C16" s="43" t="s">
        <v>37</v>
      </c>
      <c r="D16" s="44" t="str">
        <f t="shared" si="1"/>
        <v>2.13E-10</v>
      </c>
      <c r="E16" s="41"/>
      <c r="F16" s="41"/>
    </row>
    <row r="17" spans="1:6">
      <c r="A17" s="45"/>
      <c r="B17" s="43">
        <v>2.13</v>
      </c>
      <c r="C17" s="43">
        <v>10</v>
      </c>
      <c r="D17" s="46"/>
      <c r="E17" s="41"/>
      <c r="F17" s="41"/>
    </row>
    <row r="18" spans="1:6">
      <c r="A18" s="41" t="s">
        <v>26</v>
      </c>
      <c r="B18" s="41"/>
      <c r="C18" s="41"/>
      <c r="D18" s="41">
        <f>B4*(D16-D11)/(D13-D11)</f>
        <v>6.39801219787666e-12</v>
      </c>
      <c r="E18" s="41"/>
      <c r="F18" s="41"/>
    </row>
  </sheetData>
  <mergeCells count="22">
    <mergeCell ref="A1:F1"/>
    <mergeCell ref="B4:D4"/>
    <mergeCell ref="B9:D9"/>
    <mergeCell ref="A10:F10"/>
    <mergeCell ref="A2:A3"/>
    <mergeCell ref="A5:A6"/>
    <mergeCell ref="A7:A8"/>
    <mergeCell ref="A11:A12"/>
    <mergeCell ref="A13:A14"/>
    <mergeCell ref="A16:A17"/>
    <mergeCell ref="D2:D3"/>
    <mergeCell ref="D5:D6"/>
    <mergeCell ref="D7:D8"/>
    <mergeCell ref="D11:D12"/>
    <mergeCell ref="D13:D14"/>
    <mergeCell ref="D16:D17"/>
    <mergeCell ref="E2:E3"/>
    <mergeCell ref="E5:E6"/>
    <mergeCell ref="E11:E12"/>
    <mergeCell ref="F2:F3"/>
    <mergeCell ref="F5:F6"/>
    <mergeCell ref="F11:F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zoomScale="130" zoomScaleNormal="130" topLeftCell="A19" workbookViewId="0">
      <selection activeCell="G35" sqref="G35:M37"/>
    </sheetView>
  </sheetViews>
  <sheetFormatPr defaultColWidth="9" defaultRowHeight="14"/>
  <cols>
    <col min="1" max="1" width="16.2454545454545" customWidth="1"/>
    <col min="2" max="2" width="8.75454545454545" customWidth="1"/>
    <col min="3" max="3" width="8.14545454545454" customWidth="1"/>
    <col min="4" max="4" width="10.2181818181818" customWidth="1"/>
    <col min="5" max="5" width="8.36363636363636" customWidth="1"/>
    <col min="6" max="8" width="2.49090909090909" customWidth="1"/>
    <col min="9" max="9" width="7.60909090909091" customWidth="1"/>
    <col min="10" max="10" width="2.5" customWidth="1"/>
    <col min="11" max="11" width="4.12727272727273" customWidth="1"/>
    <col min="12" max="12" width="0.972727272727273" customWidth="1"/>
    <col min="13" max="13" width="14.4727272727273" customWidth="1"/>
  </cols>
  <sheetData>
    <row r="1" ht="15" customHeight="1" spans="1:13">
      <c r="A1" s="1" t="s">
        <v>40</v>
      </c>
      <c r="B1" s="2"/>
      <c r="C1" s="2"/>
      <c r="D1" s="3"/>
      <c r="E1" s="4" t="s">
        <v>41</v>
      </c>
      <c r="F1" s="4"/>
      <c r="G1" s="4"/>
      <c r="H1" s="4"/>
      <c r="I1" s="4" t="str">
        <f>原始数据!B3</f>
        <v>HD-LT26-0016</v>
      </c>
      <c r="J1" s="4"/>
      <c r="K1" s="4"/>
      <c r="L1" s="4"/>
      <c r="M1" s="4"/>
    </row>
    <row r="2" ht="15" customHeight="1" spans="1:13">
      <c r="A2" s="5" t="s">
        <v>42</v>
      </c>
      <c r="B2" s="6"/>
      <c r="C2" s="6"/>
      <c r="D2" s="7"/>
      <c r="E2" s="7" t="s">
        <v>43</v>
      </c>
      <c r="F2" s="7"/>
      <c r="G2" s="7"/>
      <c r="H2" s="7"/>
      <c r="I2" s="7">
        <v>1</v>
      </c>
      <c r="J2" s="7"/>
      <c r="K2" s="7"/>
      <c r="L2" s="7"/>
      <c r="M2" s="7"/>
    </row>
    <row r="3" ht="17" customHeight="1" spans="1:13">
      <c r="A3" s="8" t="s">
        <v>44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ht="17" customHeight="1" spans="1:13">
      <c r="A4" s="9" t="s">
        <v>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ht="17" customHeight="1" spans="1:13">
      <c r="A5" s="10" t="s">
        <v>46</v>
      </c>
      <c r="B5" s="11" t="s">
        <v>27</v>
      </c>
      <c r="C5" s="11"/>
      <c r="D5" s="11"/>
      <c r="E5" s="11" t="s">
        <v>6</v>
      </c>
      <c r="F5" s="11"/>
      <c r="G5" s="11"/>
      <c r="H5" s="11"/>
      <c r="I5" s="11"/>
      <c r="J5" s="11"/>
      <c r="K5" s="11"/>
      <c r="L5" s="11"/>
      <c r="M5" s="11"/>
    </row>
    <row r="6" ht="17" customHeight="1" spans="1:13">
      <c r="A6" s="10" t="s">
        <v>5</v>
      </c>
      <c r="B6" s="12" t="str">
        <f>VLOOKUP(I1,原始数据!$B:$E,4,0)</f>
        <v>H09515</v>
      </c>
      <c r="C6" s="12"/>
      <c r="D6" s="12"/>
      <c r="E6" s="12" t="s">
        <v>47</v>
      </c>
      <c r="F6" s="12"/>
      <c r="G6" s="12"/>
      <c r="H6" s="12"/>
      <c r="I6" s="12"/>
      <c r="J6" s="12">
        <f>VLOOKUP(I1,原始数据!$B:$I,8,0)</f>
        <v>20</v>
      </c>
      <c r="K6" s="12"/>
      <c r="L6" s="12"/>
      <c r="M6" s="12"/>
    </row>
    <row r="7" ht="17" customHeight="1" spans="1:13">
      <c r="A7" s="10" t="s">
        <v>48</v>
      </c>
      <c r="B7" s="12" t="str">
        <f>VLOOKUP(I1,原始数据!$B:$J,3,0)</f>
        <v>2026.03.12</v>
      </c>
      <c r="C7" s="12"/>
      <c r="D7" s="12"/>
      <c r="E7" s="12" t="s">
        <v>49</v>
      </c>
      <c r="F7" s="12"/>
      <c r="G7" s="12"/>
      <c r="H7" s="12"/>
      <c r="I7" s="12"/>
      <c r="J7" s="12">
        <v>40</v>
      </c>
      <c r="K7" s="12"/>
      <c r="L7" s="12"/>
      <c r="M7" s="12"/>
    </row>
    <row r="8" ht="17" customHeight="1" spans="1:13">
      <c r="A8" s="10" t="s">
        <v>8</v>
      </c>
      <c r="B8" s="12" t="s">
        <v>50</v>
      </c>
      <c r="C8" s="12"/>
      <c r="D8" s="12"/>
      <c r="E8" s="12" t="s">
        <v>11</v>
      </c>
      <c r="F8" s="12"/>
      <c r="G8" s="12"/>
      <c r="H8" s="12"/>
      <c r="I8" s="12"/>
      <c r="J8" s="12"/>
      <c r="K8" s="12"/>
      <c r="L8" s="12"/>
      <c r="M8" s="12"/>
    </row>
    <row r="9" ht="17" customHeight="1" spans="1:13">
      <c r="A9" s="13" t="s">
        <v>51</v>
      </c>
      <c r="B9" s="14" t="s">
        <v>52</v>
      </c>
      <c r="C9" s="14"/>
      <c r="D9" s="14"/>
      <c r="E9" s="15"/>
      <c r="F9" s="15"/>
      <c r="G9" s="15"/>
      <c r="H9" s="15"/>
      <c r="I9" s="15"/>
      <c r="J9" s="12"/>
      <c r="K9" s="12"/>
      <c r="L9" s="12"/>
      <c r="M9" s="12"/>
    </row>
    <row r="10" ht="17" customHeight="1" spans="1:13">
      <c r="A10" s="10" t="s">
        <v>53</v>
      </c>
      <c r="B10" s="16" t="s">
        <v>54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ht="17" customHeight="1" spans="1:13">
      <c r="A11" s="9" t="s">
        <v>55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ht="17" customHeight="1" spans="1:13">
      <c r="A12" s="10" t="s">
        <v>56</v>
      </c>
      <c r="B12" s="10"/>
      <c r="C12" s="17" t="s">
        <v>57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ht="17" customHeight="1" spans="1:13">
      <c r="A13" s="10" t="s">
        <v>58</v>
      </c>
      <c r="B13" s="10"/>
      <c r="C13" s="18" t="s">
        <v>59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ht="17" customHeight="1" spans="1:13">
      <c r="A14" s="10" t="s">
        <v>60</v>
      </c>
      <c r="B14" s="10"/>
      <c r="C14" s="18" t="s">
        <v>61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ht="17" customHeight="1" spans="1:13">
      <c r="A15" s="10" t="s">
        <v>62</v>
      </c>
      <c r="B15" s="10"/>
      <c r="C15" s="18" t="s">
        <v>63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ht="17" customHeight="1" spans="1:13">
      <c r="A16" s="9" t="s">
        <v>64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ht="17" customHeight="1" spans="1:13">
      <c r="A17" s="19" t="s">
        <v>65</v>
      </c>
      <c r="B17" s="20"/>
      <c r="C17" s="21"/>
      <c r="D17" s="22" t="str">
        <f>VLOOKUP(I1,原始数据!$B:$O,13,0)</f>
        <v>3.88E-9</v>
      </c>
      <c r="E17" s="22"/>
      <c r="F17" s="23" t="s">
        <v>66</v>
      </c>
      <c r="G17" s="23"/>
      <c r="H17" s="23"/>
      <c r="I17" s="23"/>
      <c r="J17" s="23"/>
      <c r="K17" s="23"/>
      <c r="L17" s="24"/>
      <c r="M17" s="22">
        <f>VLOOKUP(I1,原始数据!$B:$P,15,0)</f>
        <v>3.88e-9</v>
      </c>
    </row>
    <row r="18" ht="17" customHeight="1" spans="1:13">
      <c r="A18" s="25"/>
      <c r="B18" s="26"/>
      <c r="C18" s="18"/>
      <c r="D18" s="22"/>
      <c r="E18" s="22"/>
      <c r="F18" s="27"/>
      <c r="G18" s="27"/>
      <c r="H18" s="27"/>
      <c r="I18" s="27"/>
      <c r="J18" s="27"/>
      <c r="K18" s="27"/>
      <c r="L18" s="12"/>
      <c r="M18" s="22"/>
    </row>
    <row r="19" ht="17" customHeight="1" spans="1:13">
      <c r="A19" s="28" t="s">
        <v>67</v>
      </c>
      <c r="B19" s="29"/>
      <c r="C19" s="30"/>
      <c r="D19" s="22" t="str">
        <f>VLOOKUP(I1,原始数据!$B:$S,18,0)</f>
        <v>5E-13</v>
      </c>
      <c r="E19" s="22"/>
      <c r="F19" s="29" t="s">
        <v>68</v>
      </c>
      <c r="G19" s="29"/>
      <c r="H19" s="29"/>
      <c r="I19" s="29"/>
      <c r="J19" s="29"/>
      <c r="K19" s="29"/>
      <c r="L19" s="30"/>
      <c r="M19" s="22">
        <f>VLOOKUP(I1,原始数据!$B:$T,19,0)</f>
        <v>5e-14</v>
      </c>
    </row>
    <row r="20" ht="17" customHeight="1" spans="1:13">
      <c r="A20" s="31"/>
      <c r="B20" s="27"/>
      <c r="C20" s="12"/>
      <c r="D20" s="22"/>
      <c r="E20" s="22"/>
      <c r="F20" s="27"/>
      <c r="G20" s="27"/>
      <c r="H20" s="27"/>
      <c r="I20" s="27"/>
      <c r="J20" s="27"/>
      <c r="K20" s="27"/>
      <c r="L20" s="12"/>
      <c r="M20" s="22"/>
    </row>
    <row r="21" ht="17" customHeight="1" spans="1:13">
      <c r="A21" s="28" t="s">
        <v>69</v>
      </c>
      <c r="B21" s="29"/>
      <c r="C21" s="30"/>
      <c r="D21" s="22" t="str">
        <f>VLOOKUP(I1,原始数据!$B:$W,22,0)</f>
        <v>3.12E-9</v>
      </c>
      <c r="E21" s="22"/>
      <c r="F21" s="29"/>
      <c r="G21" s="29"/>
      <c r="H21" s="29"/>
      <c r="I21" s="29"/>
      <c r="J21" s="29"/>
      <c r="K21" s="29"/>
      <c r="L21" s="29"/>
      <c r="M21" s="30"/>
    </row>
    <row r="22" ht="17" customHeight="1" spans="1:13">
      <c r="A22" s="31"/>
      <c r="B22" s="27"/>
      <c r="C22" s="12"/>
      <c r="D22" s="22"/>
      <c r="E22" s="22"/>
      <c r="F22" s="27"/>
      <c r="G22" s="27"/>
      <c r="H22" s="27"/>
      <c r="I22" s="27"/>
      <c r="J22" s="27"/>
      <c r="K22" s="27"/>
      <c r="L22" s="27"/>
      <c r="M22" s="12"/>
    </row>
    <row r="23" ht="17" customHeight="1" spans="1:13">
      <c r="A23" s="19" t="s">
        <v>70</v>
      </c>
      <c r="B23" s="20"/>
      <c r="C23" s="20"/>
      <c r="D23" s="20"/>
      <c r="E23" s="21"/>
      <c r="F23" s="22">
        <f>VLOOKUP(I1,原始数据!$B:$AG,23,0)</f>
        <v>6.2189453438051e-14</v>
      </c>
      <c r="G23" s="22"/>
      <c r="H23" s="22"/>
      <c r="I23" s="22"/>
      <c r="J23" s="22"/>
      <c r="K23" s="22"/>
      <c r="L23" s="22"/>
      <c r="M23" s="22"/>
    </row>
    <row r="24" ht="17" customHeight="1" spans="1:13">
      <c r="A24" s="25"/>
      <c r="B24" s="26"/>
      <c r="C24" s="26"/>
      <c r="D24" s="26"/>
      <c r="E24" s="18"/>
      <c r="F24" s="22"/>
      <c r="G24" s="22"/>
      <c r="H24" s="22"/>
      <c r="I24" s="22"/>
      <c r="J24" s="22"/>
      <c r="K24" s="22"/>
      <c r="L24" s="22"/>
      <c r="M24" s="22"/>
    </row>
    <row r="25" ht="17" customHeight="1" spans="1:13">
      <c r="A25" s="9" t="s">
        <v>71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ht="17" customHeight="1" spans="1:13">
      <c r="A26" s="19" t="s">
        <v>72</v>
      </c>
      <c r="B26" s="20"/>
      <c r="C26" s="21"/>
      <c r="D26" s="22" t="str">
        <f>VLOOKUP(I1,原始数据!$B:$AA,26)</f>
        <v>1E-13</v>
      </c>
      <c r="E26" s="22"/>
      <c r="F26" s="22"/>
      <c r="G26" s="23" t="s">
        <v>73</v>
      </c>
      <c r="H26" s="23"/>
      <c r="I26" s="23"/>
      <c r="J26" s="23"/>
      <c r="K26" s="24"/>
      <c r="L26" s="22">
        <f>VLOOKUP(I1,原始数据!$B:$AB,27,0)</f>
        <v>1e-14</v>
      </c>
      <c r="M26" s="22"/>
    </row>
    <row r="27" ht="17" customHeight="1" spans="1:13">
      <c r="A27" s="25"/>
      <c r="B27" s="26"/>
      <c r="C27" s="18"/>
      <c r="D27" s="22"/>
      <c r="E27" s="22"/>
      <c r="F27" s="22"/>
      <c r="G27" s="27"/>
      <c r="H27" s="27"/>
      <c r="I27" s="27"/>
      <c r="J27" s="27"/>
      <c r="K27" s="12"/>
      <c r="L27" s="22"/>
      <c r="M27" s="22"/>
    </row>
    <row r="28" ht="17" customHeight="1" spans="1:13">
      <c r="A28" s="19" t="s">
        <v>74</v>
      </c>
      <c r="B28" s="20"/>
      <c r="C28" s="21"/>
      <c r="D28" s="22" t="str">
        <f>VLOOKUP(I1,原始数据!$B:$AE,30,0)</f>
        <v>3.32E-9</v>
      </c>
      <c r="E28" s="22"/>
      <c r="F28" s="22"/>
      <c r="G28" s="29" t="s">
        <v>75</v>
      </c>
      <c r="H28" s="29"/>
      <c r="I28" s="29"/>
      <c r="J28" s="29"/>
      <c r="K28" s="30"/>
      <c r="L28" s="12">
        <f>VLOOKUP(I1,原始数据!$B:$AF,31,0)</f>
        <v>50</v>
      </c>
      <c r="M28" s="12"/>
    </row>
    <row r="29" ht="17" customHeight="1" spans="1:13">
      <c r="A29" s="25"/>
      <c r="B29" s="26"/>
      <c r="C29" s="18"/>
      <c r="D29" s="22"/>
      <c r="E29" s="22"/>
      <c r="F29" s="22"/>
      <c r="G29" s="27"/>
      <c r="H29" s="27"/>
      <c r="I29" s="27"/>
      <c r="J29" s="27"/>
      <c r="K29" s="12"/>
      <c r="L29" s="12"/>
      <c r="M29" s="12"/>
    </row>
    <row r="30" ht="17" customHeight="1" spans="1:13">
      <c r="A30" s="19" t="s">
        <v>76</v>
      </c>
      <c r="B30" s="20"/>
      <c r="C30" s="20"/>
      <c r="D30" s="20"/>
      <c r="E30" s="20"/>
      <c r="F30" s="21"/>
      <c r="G30" s="22">
        <f>VLOOKUP(I1,原始数据!$B:$AG,32,0)</f>
        <v>1.16870990090063e-14</v>
      </c>
      <c r="H30" s="22"/>
      <c r="I30" s="22"/>
      <c r="J30" s="22"/>
      <c r="K30" s="22"/>
      <c r="L30" s="22"/>
      <c r="M30" s="22"/>
    </row>
    <row r="31" ht="17" customHeight="1" spans="1:13">
      <c r="A31" s="19"/>
      <c r="B31" s="20"/>
      <c r="C31" s="20"/>
      <c r="D31" s="20"/>
      <c r="E31" s="20"/>
      <c r="F31" s="21"/>
      <c r="G31" s="22"/>
      <c r="H31" s="22"/>
      <c r="I31" s="22"/>
      <c r="J31" s="22"/>
      <c r="K31" s="22"/>
      <c r="L31" s="22"/>
      <c r="M31" s="22"/>
    </row>
    <row r="32" ht="17" customHeight="1" spans="1:13">
      <c r="A32" s="25"/>
      <c r="B32" s="26"/>
      <c r="C32" s="26"/>
      <c r="D32" s="26"/>
      <c r="E32" s="26"/>
      <c r="F32" s="18"/>
      <c r="G32" s="22"/>
      <c r="H32" s="22"/>
      <c r="I32" s="22"/>
      <c r="J32" s="22"/>
      <c r="K32" s="22"/>
      <c r="L32" s="22"/>
      <c r="M32" s="22"/>
    </row>
    <row r="33" ht="17" customHeight="1" spans="1:13">
      <c r="A33" s="32" t="s">
        <v>77</v>
      </c>
      <c r="B33" s="33"/>
      <c r="C33" s="34"/>
      <c r="D33" s="12" t="str">
        <f>VLOOKUP(I1,原始数据!$B:$AK,35,0)</f>
        <v>5.01E-13</v>
      </c>
      <c r="E33" s="12"/>
      <c r="F33" s="12"/>
      <c r="G33" s="35" t="s">
        <v>78</v>
      </c>
      <c r="H33" s="35"/>
      <c r="I33" s="35"/>
      <c r="J33" s="35"/>
      <c r="K33" s="36"/>
      <c r="L33" s="11">
        <v>100</v>
      </c>
      <c r="M33" s="11"/>
    </row>
    <row r="34" ht="17" customHeight="1" spans="1:13">
      <c r="A34" s="37"/>
      <c r="B34" s="38"/>
      <c r="C34" s="39"/>
      <c r="D34" s="12"/>
      <c r="E34" s="12"/>
      <c r="F34" s="12"/>
      <c r="G34" s="26"/>
      <c r="H34" s="26"/>
      <c r="I34" s="26"/>
      <c r="J34" s="26"/>
      <c r="K34" s="18"/>
      <c r="L34" s="11"/>
      <c r="M34" s="11"/>
    </row>
    <row r="35" ht="17" customHeight="1" spans="1:13">
      <c r="A35" s="19" t="s">
        <v>79</v>
      </c>
      <c r="B35" s="20"/>
      <c r="C35" s="20"/>
      <c r="D35" s="20"/>
      <c r="E35" s="20"/>
      <c r="F35" s="21"/>
      <c r="G35" s="22">
        <f>VLOOKUP(I1,原始数据!B:AL,37,0)</f>
        <v>4.68652670261152e-13</v>
      </c>
      <c r="H35" s="22"/>
      <c r="I35" s="22"/>
      <c r="J35" s="22"/>
      <c r="K35" s="22"/>
      <c r="L35" s="22"/>
      <c r="M35" s="22"/>
    </row>
    <row r="36" ht="17" customHeight="1" spans="1:13">
      <c r="A36" s="19"/>
      <c r="B36" s="20"/>
      <c r="C36" s="20"/>
      <c r="D36" s="20"/>
      <c r="E36" s="20"/>
      <c r="F36" s="21"/>
      <c r="G36" s="22"/>
      <c r="H36" s="22"/>
      <c r="I36" s="22"/>
      <c r="J36" s="22"/>
      <c r="K36" s="22"/>
      <c r="L36" s="22"/>
      <c r="M36" s="22"/>
    </row>
    <row r="37" ht="17" customHeight="1" spans="1:13">
      <c r="A37" s="25"/>
      <c r="B37" s="26"/>
      <c r="C37" s="26"/>
      <c r="D37" s="26"/>
      <c r="E37" s="26"/>
      <c r="F37" s="18"/>
      <c r="G37" s="22"/>
      <c r="H37" s="22"/>
      <c r="I37" s="22"/>
      <c r="J37" s="22"/>
      <c r="K37" s="22"/>
      <c r="L37" s="22"/>
      <c r="M37" s="22"/>
    </row>
    <row r="38" ht="17" customHeight="1" spans="1:13">
      <c r="A38" s="9" t="s">
        <v>80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ht="17" customHeight="1" spans="1:13">
      <c r="A39" s="28" t="s">
        <v>81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  <row r="40" ht="17" customHeight="1" spans="1:13">
      <c r="A40" s="31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12"/>
    </row>
    <row r="41" ht="17" customHeight="1" spans="1:13">
      <c r="A41" s="10"/>
      <c r="B41" s="10"/>
      <c r="C41" s="10"/>
      <c r="D41" s="11" t="s">
        <v>82</v>
      </c>
      <c r="E41" s="11"/>
      <c r="F41" s="11"/>
      <c r="G41" s="11"/>
      <c r="H41" s="11" t="s">
        <v>83</v>
      </c>
      <c r="I41" s="11"/>
      <c r="J41" s="11"/>
      <c r="K41" s="11" t="s">
        <v>84</v>
      </c>
      <c r="L41" s="11"/>
      <c r="M41" s="11"/>
    </row>
    <row r="42" ht="17" customHeight="1" spans="1:13">
      <c r="A42" s="10" t="s">
        <v>85</v>
      </c>
      <c r="B42" s="10"/>
      <c r="C42" s="10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ht="17" customHeight="1" spans="1:13">
      <c r="A43" s="10" t="s">
        <v>86</v>
      </c>
      <c r="B43" s="10"/>
      <c r="C43" s="10"/>
      <c r="D43" s="12"/>
      <c r="E43" s="12"/>
      <c r="F43" s="12"/>
      <c r="G43" s="12"/>
      <c r="H43" s="12"/>
      <c r="I43" s="12"/>
      <c r="J43" s="12"/>
      <c r="K43" s="40"/>
      <c r="L43" s="40"/>
      <c r="M43" s="40"/>
    </row>
  </sheetData>
  <mergeCells count="78">
    <mergeCell ref="A1:D1"/>
    <mergeCell ref="E1:H1"/>
    <mergeCell ref="I1:M1"/>
    <mergeCell ref="A2:D2"/>
    <mergeCell ref="E2:H2"/>
    <mergeCell ref="I2:M2"/>
    <mergeCell ref="A3:M3"/>
    <mergeCell ref="A4:M4"/>
    <mergeCell ref="B5:D5"/>
    <mergeCell ref="E5:I5"/>
    <mergeCell ref="J5:M5"/>
    <mergeCell ref="B6:D6"/>
    <mergeCell ref="E6:I6"/>
    <mergeCell ref="J6:M6"/>
    <mergeCell ref="B7:D7"/>
    <mergeCell ref="E7:I7"/>
    <mergeCell ref="J7:M7"/>
    <mergeCell ref="B8:D8"/>
    <mergeCell ref="E8:I8"/>
    <mergeCell ref="J8:M8"/>
    <mergeCell ref="B9:D9"/>
    <mergeCell ref="E9:I9"/>
    <mergeCell ref="J9:M9"/>
    <mergeCell ref="B10:M10"/>
    <mergeCell ref="A11:M11"/>
    <mergeCell ref="A12:B12"/>
    <mergeCell ref="C12:M12"/>
    <mergeCell ref="A13:B13"/>
    <mergeCell ref="C13:M13"/>
    <mergeCell ref="A14:B14"/>
    <mergeCell ref="C14:M14"/>
    <mergeCell ref="A15:B15"/>
    <mergeCell ref="C15:M15"/>
    <mergeCell ref="A16:M16"/>
    <mergeCell ref="A25:M25"/>
    <mergeCell ref="A38:M38"/>
    <mergeCell ref="A41:C41"/>
    <mergeCell ref="D41:G41"/>
    <mergeCell ref="H41:J41"/>
    <mergeCell ref="K41:M41"/>
    <mergeCell ref="A42:C42"/>
    <mergeCell ref="D42:G42"/>
    <mergeCell ref="H42:J42"/>
    <mergeCell ref="K42:M42"/>
    <mergeCell ref="A43:C43"/>
    <mergeCell ref="D43:G43"/>
    <mergeCell ref="H43:J43"/>
    <mergeCell ref="K43:M43"/>
    <mergeCell ref="M17:M18"/>
    <mergeCell ref="M19:M20"/>
    <mergeCell ref="A17:C18"/>
    <mergeCell ref="F17:L18"/>
    <mergeCell ref="A19:C20"/>
    <mergeCell ref="F19:L20"/>
    <mergeCell ref="A21:C22"/>
    <mergeCell ref="A23:E24"/>
    <mergeCell ref="F23:M24"/>
    <mergeCell ref="A26:C27"/>
    <mergeCell ref="D26:F27"/>
    <mergeCell ref="G26:K27"/>
    <mergeCell ref="A28:C29"/>
    <mergeCell ref="D28:F29"/>
    <mergeCell ref="G28:K29"/>
    <mergeCell ref="L28:M29"/>
    <mergeCell ref="A30:F32"/>
    <mergeCell ref="G30:M32"/>
    <mergeCell ref="A33:C34"/>
    <mergeCell ref="D33:F34"/>
    <mergeCell ref="G33:K34"/>
    <mergeCell ref="L33:M34"/>
    <mergeCell ref="A35:F37"/>
    <mergeCell ref="G35:M37"/>
    <mergeCell ref="A39:M40"/>
    <mergeCell ref="L26:M27"/>
    <mergeCell ref="D21:E22"/>
    <mergeCell ref="D19:E20"/>
    <mergeCell ref="D17:E18"/>
    <mergeCell ref="F21:M2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计算</vt:lpstr>
      <vt:lpstr>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王元</cp:lastModifiedBy>
  <dcterms:created xsi:type="dcterms:W3CDTF">2026-03-19T07:58:00Z</dcterms:created>
  <dcterms:modified xsi:type="dcterms:W3CDTF">2026-06-10T09:26:47Z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03987302D6E146AAA3A82CBD3F9D50F9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